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Interview Preparation\Mapup\MapUp-DA-Assessment-2024-main\MapUp-DA-Assessment-2024-main\"/>
    </mc:Choice>
  </mc:AlternateContent>
  <xr:revisionPtr revIDLastSave="0" documentId="13_ncr:1_{C5F53BB1-39FA-407E-90B8-880817BDFD51}" xr6:coauthVersionLast="47" xr6:coauthVersionMax="47" xr10:uidLastSave="{00000000-0000-0000-0000-000000000000}"/>
  <bookViews>
    <workbookView xWindow="-108" yWindow="-108" windowWidth="23256" windowHeight="1245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D12" i="19"/>
  <c r="D13" i="19"/>
  <c r="D14" i="19"/>
  <c r="D15" i="19"/>
  <c r="D16" i="19"/>
  <c r="D17" i="19"/>
  <c r="D18" i="19"/>
  <c r="D19" i="19"/>
  <c r="D20" i="19"/>
  <c r="D21" i="19"/>
  <c r="D22" i="19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C57" i="16"/>
  <c r="C56" i="16"/>
  <c r="C55" i="16"/>
  <c r="C54" i="16"/>
  <c r="C53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B32" i="16"/>
  <c r="B31" i="16"/>
  <c r="B30" i="16"/>
  <c r="B29" i="16"/>
  <c r="B28" i="16"/>
  <c r="B27" i="16"/>
  <c r="B26" i="16"/>
  <c r="B25" i="16"/>
  <c r="B24" i="16"/>
  <c r="B23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22" i="16"/>
  <c r="B21" i="16"/>
  <c r="B20" i="16"/>
  <c r="B19" i="16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C5" i="15"/>
</calcChain>
</file>

<file path=xl/sharedStrings.xml><?xml version="1.0" encoding="utf-8"?>
<sst xmlns="http://schemas.openxmlformats.org/spreadsheetml/2006/main" count="337" uniqueCount="191">
  <si>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</si>
  <si>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</si>
  <si>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</si>
  <si>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</si>
  <si>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</si>
  <si>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</si>
  <si>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</si>
  <si>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</si>
  <si>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</si>
  <si>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</si>
  <si>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</si>
  <si>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</si>
  <si>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</si>
  <si>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</si>
  <si>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</si>
  <si>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</si>
  <si>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</si>
  <si>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</si>
  <si>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</si>
  <si>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</si>
  <si>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</si>
  <si>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</si>
  <si>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</si>
  <si>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</si>
  <si>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</si>
  <si>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</si>
  <si>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</si>
  <si>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</si>
  <si>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</si>
  <si>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</si>
  <si>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</si>
  <si>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</si>
  <si>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</si>
  <si>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</si>
  <si>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</si>
  <si>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</si>
  <si>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</si>
  <si>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</si>
  <si>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</si>
  <si>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</si>
  <si>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</si>
  <si>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</si>
  <si>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</si>
  <si>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</si>
  <si>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</si>
  <si>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</si>
  <si>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</si>
  <si>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</si>
  <si>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</si>
  <si>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</si>
  <si>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</si>
  <si>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</si>
  <si>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</si>
  <si>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</si>
  <si>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</si>
  <si>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</si>
  <si>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</si>
  <si>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</si>
  <si>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</si>
  <si>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</si>
  <si>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</si>
  <si>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</si>
  <si>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</si>
  <si>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</si>
  <si>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</si>
  <si>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</si>
  <si>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</si>
  <si>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</si>
  <si>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</si>
  <si>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</si>
  <si>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</si>
  <si>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</si>
  <si>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</si>
  <si>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</si>
  <si>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</si>
  <si>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</si>
  <si>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</si>
  <si>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</si>
  <si>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</si>
  <si>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</si>
  <si>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</si>
  <si>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</si>
  <si>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</si>
  <si>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</si>
  <si>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</si>
  <si>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</si>
  <si>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</si>
  <si>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</si>
  <si>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</si>
  <si>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</si>
  <si>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</si>
  <si>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</si>
  <si>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</si>
  <si>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</si>
  <si>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</si>
  <si>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</si>
  <si>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</si>
  <si>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</si>
  <si>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</si>
  <si>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</si>
  <si>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</si>
  <si>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</si>
  <si>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</si>
  <si>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</si>
  <si>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</si>
  <si>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</si>
  <si>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</si>
  <si>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</si>
  <si>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</si>
  <si>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</si>
  <si>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</si>
  <si>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</si>
  <si>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</si>
  <si>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</si>
  <si>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</si>
  <si>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</si>
  <si>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</si>
  <si>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</si>
  <si>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</si>
  <si>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</si>
  <si>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</si>
  <si>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</si>
  <si>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</si>
  <si>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</si>
  <si>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</si>
  <si>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</si>
  <si>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</si>
  <si>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</si>
  <si>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</si>
  <si>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</si>
  <si>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</si>
  <si>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</si>
  <si>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</si>
  <si>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</si>
  <si>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</si>
  <si>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</si>
  <si>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</si>
  <si>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</si>
  <si>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</si>
  <si>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</si>
  <si>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</si>
  <si>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</si>
  <si>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</si>
  <si>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</si>
  <si>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</si>
  <si>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</si>
  <si>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</si>
  <si>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</si>
  <si>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</si>
  <si>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</si>
  <si>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</si>
  <si>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</si>
  <si>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</si>
  <si>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</si>
  <si>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</si>
  <si>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</si>
  <si>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</si>
  <si>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</si>
  <si>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</si>
  <si>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</si>
  <si>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</si>
  <si>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</si>
  <si>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</si>
  <si>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</si>
  <si>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</si>
  <si>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</si>
  <si>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</si>
  <si>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</si>
  <si>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</si>
  <si>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</si>
  <si>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</si>
  <si>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</si>
  <si>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</si>
  <si>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</si>
  <si>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</si>
  <si>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</si>
  <si>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</si>
  <si>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Column1</t>
  </si>
  <si>
    <t>2.MID extracts the middle parts by finding the position of "-" and pulling the text between the delimiters.</t>
  </si>
  <si>
    <t>3.RIGHT extracts the last part of the text string.</t>
  </si>
  <si>
    <t>4.FIND is used to locate the position of each delimiter ("-").</t>
  </si>
  <si>
    <t>1.LEFT extracts the first part of the text string.</t>
  </si>
  <si>
    <t>Other Way</t>
  </si>
  <si>
    <t>We can Fill the data by using Flash Fill also</t>
  </si>
  <si>
    <t>We have to use the LEFT, MID, Find and Right function</t>
  </si>
  <si>
    <t>Done</t>
  </si>
  <si>
    <t>Calculated COL</t>
  </si>
  <si>
    <r>
      <t xml:space="preserve">We can use </t>
    </r>
    <r>
      <rPr>
        <b/>
        <sz val="10"/>
        <color rgb="FF000000"/>
        <rFont val="Calibri"/>
        <family val="2"/>
        <scheme val="minor"/>
      </rPr>
      <t>IFERROR</t>
    </r>
    <r>
      <rPr>
        <sz val="10"/>
        <color rgb="FF000000"/>
        <rFont val="Calibri"/>
        <family val="2"/>
        <scheme val="minor"/>
      </rPr>
      <t xml:space="preserve"> function for substituting the value in place of #N/A </t>
    </r>
  </si>
  <si>
    <r>
      <t xml:space="preserve">We can use </t>
    </r>
    <r>
      <rPr>
        <b/>
        <sz val="10"/>
        <color rgb="FF000000"/>
        <rFont val="Calibri"/>
        <family val="2"/>
        <scheme val="minor"/>
      </rPr>
      <t>IFERROR</t>
    </r>
    <r>
      <rPr>
        <sz val="10"/>
        <color rgb="FF000000"/>
        <rFont val="Calibri"/>
        <family val="2"/>
        <scheme val="minor"/>
      </rPr>
      <t xml:space="preserve"> function for finding the error column and substitute the error coloumn with </t>
    </r>
    <r>
      <rPr>
        <b/>
        <sz val="10"/>
        <color rgb="FF000000"/>
        <rFont val="Calibri"/>
        <family val="2"/>
        <scheme val="minor"/>
      </rPr>
      <t>20</t>
    </r>
  </si>
  <si>
    <r>
      <t xml:space="preserve">We can use </t>
    </r>
    <r>
      <rPr>
        <b/>
        <sz val="11"/>
        <color rgb="FF000000"/>
        <rFont val="Calibri"/>
        <family val="2"/>
        <scheme val="minor"/>
      </rPr>
      <t>Vlookup</t>
    </r>
    <r>
      <rPr>
        <sz val="11"/>
        <color rgb="FF000000"/>
        <rFont val="Calibri"/>
        <family val="2"/>
        <scheme val="minor"/>
      </rPr>
      <t xml:space="preserve"> function in this case</t>
    </r>
  </si>
  <si>
    <t xml:space="preserve">In this question there is not any specific criteria is given for the Table_C value col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</si>
</sst>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166" fontId="3" fillId="0" borderId="0" xfId="0" applyNumberFormat="1" applyFont="1"/>
    <xf numFmtId="0" fontId="17" fillId="0" borderId="0" xfId="0" applyFont="1" applyAlignment="1">
      <alignment vertical="center"/>
    </xf>
    <xf numFmtId="0" fontId="17" fillId="0" borderId="0" xfId="0" applyFont="1" applyBorder="1" applyAlignment="1">
      <alignment vertical="center"/>
    </xf>
    <xf numFmtId="0" fontId="3" fillId="0" borderId="0" xfId="0" applyFont="1" applyBorder="1"/>
    <xf numFmtId="0" fontId="17" fillId="0" borderId="3" xfId="0" applyFont="1" applyBorder="1" applyAlignment="1">
      <alignment vertical="center"/>
    </xf>
    <xf numFmtId="0" fontId="17" fillId="0" borderId="5" xfId="0" applyFont="1" applyBorder="1" applyAlignment="1">
      <alignment vertical="center"/>
    </xf>
    <xf numFmtId="0" fontId="17" fillId="0" borderId="6" xfId="0" applyFont="1" applyBorder="1" applyAlignment="1">
      <alignment vertical="center"/>
    </xf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7" fillId="0" borderId="6" xfId="0" applyFont="1" applyBorder="1"/>
    <xf numFmtId="0" fontId="7" fillId="0" borderId="4" xfId="0" applyFont="1" applyBorder="1"/>
    <xf numFmtId="0" fontId="8" fillId="0" borderId="0" xfId="0" applyFont="1" applyBorder="1"/>
    <xf numFmtId="0" fontId="3" fillId="0" borderId="0" xfId="0" applyFont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righ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</dxf>
    <dxf>
      <numFmt numFmtId="167" formatCode="&quot;20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1"/>
      <tableStyleElement type="headerRow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C8A802-5F91-47DB-BE2D-EF1C285F5812}" name="Table_A" displayName="Table_A" ref="A9:J18" totalsRowShown="0" headerRowDxfId="25" dataDxfId="23" headerRowBorderDxfId="24" tableBorderDxfId="22" totalsRowBorderDxfId="21">
  <tableColumns count="10">
    <tableColumn id="1" xr3:uid="{34776DE7-73F9-4F17-9238-03CB1D3197F4}" name="Column1" dataDxfId="20"/>
    <tableColumn id="2" xr3:uid="{5B8AA539-6079-4827-829E-08EB954357CE}" name="A" dataDxfId="19"/>
    <tableColumn id="3" xr3:uid="{39BB951E-59C2-4728-A9AF-452055199090}" name="B" dataDxfId="18"/>
    <tableColumn id="4" xr3:uid="{EEE69BF4-8F1A-4529-9324-ABEC7A1C68D7}" name="C" dataDxfId="17"/>
    <tableColumn id="5" xr3:uid="{1FD898BC-BDA2-40EB-9CFA-EEB683311D92}" name="D" dataDxfId="16"/>
    <tableColumn id="6" xr3:uid="{2C8EB701-61ED-4722-BABD-26EEF03FA284}" name="E" dataDxfId="15"/>
    <tableColumn id="7" xr3:uid="{F3953A24-11EC-4DF1-A059-EBBFED8E93A1}" name="F" dataDxfId="14"/>
    <tableColumn id="8" xr3:uid="{AB93B706-0C2E-4FD2-AD9F-AD3C6FA5AFFC}" name="G" dataDxfId="13"/>
    <tableColumn id="9" xr3:uid="{38469ACB-209A-4C67-91EA-5F565E8387D5}" name="H" dataDxfId="12"/>
    <tableColumn id="10" xr3:uid="{AFFDCB12-FC2C-41F3-99C0-0B26CC496A2D}" name="I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AD9BFE2-9BE4-42E4-95D7-882242E5FE16}" name="Table_B" displayName="Table_B" ref="M9:N18" totalsRowShown="0" headerRowDxfId="10" headerRowBorderDxfId="9" tableBorderDxfId="8">
  <tableColumns count="2">
    <tableColumn id="1" xr3:uid="{39E170EF-3E67-4822-A68A-49568F08DB55}" name="ID" dataDxfId="7"/>
    <tableColumn id="2" xr3:uid="{9569DA54-4C7B-4F18-A5C2-C918E9BEDA3D}" name="Name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1F0BFC-40ED-45BE-9580-C40AA2533FA9}" name="Table_C" displayName="Table_C" ref="A22:C35" totalsRowShown="0" headerRowBorderDxfId="5" tableBorderDxfId="4">
  <tableColumns count="3">
    <tableColumn id="1" xr3:uid="{4894D4A4-6264-4B06-BC4A-0D689E39E320}" name="name_1" dataDxfId="3"/>
    <tableColumn id="2" xr3:uid="{04C2609F-6542-41FA-8C5B-AC98FD104B7A}" name="name_2" dataDxfId="2"/>
    <tableColumn id="3" xr3:uid="{1E7A5041-E835-4B78-8138-BADE4555ABC5}" name="value" dataDxfId="0">
      <calculatedColumnFormula>VLOOKUP(A23,$M$10:$N$18,2,0)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A7" sqref="A7"/>
    </sheetView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7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176</v>
      </c>
      <c r="C4" s="1"/>
    </row>
    <row r="5" spans="1:3">
      <c r="A5" s="2" t="s">
        <v>151</v>
      </c>
    </row>
    <row r="8" spans="1:3">
      <c r="A8" s="2" t="s">
        <v>172</v>
      </c>
    </row>
    <row r="9" spans="1:3">
      <c r="A9" s="34" t="s">
        <v>170</v>
      </c>
      <c r="B9" s="25" t="s">
        <v>168</v>
      </c>
    </row>
    <row r="10" spans="1:3">
      <c r="A10" s="33" t="s">
        <v>171</v>
      </c>
      <c r="B10" s="35">
        <v>25</v>
      </c>
    </row>
    <row r="11" spans="1:3">
      <c r="A11" s="33" t="s">
        <v>55</v>
      </c>
      <c r="B11" s="35">
        <v>30</v>
      </c>
    </row>
    <row r="12" spans="1:3">
      <c r="A12" s="33" t="s">
        <v>56</v>
      </c>
      <c r="B12" s="35">
        <v>10</v>
      </c>
    </row>
    <row r="13" spans="1:3">
      <c r="A13" s="33" t="s">
        <v>85</v>
      </c>
      <c r="B13" s="35">
        <v>20</v>
      </c>
    </row>
    <row r="14" spans="1:3">
      <c r="A14" s="33" t="s">
        <v>98</v>
      </c>
      <c r="B14" s="35">
        <v>40</v>
      </c>
    </row>
    <row r="15" spans="1: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A5" sqref="A5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</sheetData>
  <conditionalFormatting sqref="A1:A1048576">
    <cfRule type="duplicateValues" dxfId="29" priority="4"/>
  </conditionalFormatting>
  <conditionalFormatting sqref="B1:B1048576">
    <cfRule type="duplicateValues" dxfId="28" priority="3"/>
  </conditionalFormatting>
  <conditionalFormatting sqref="A1:X40">
    <cfRule type="cellIs" dxfId="27" priority="1" operator="equal">
      <formula>0</formula>
    </cfRule>
    <cfRule type="cellIs" dxfId="26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8" sqref="B8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159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 t="s">
        <v>185</v>
      </c>
      <c r="E4" s="1">
        <v>5</v>
      </c>
    </row>
    <row r="5" spans="1:5">
      <c r="A5" s="6">
        <v>3</v>
      </c>
      <c r="B5" s="2" t="s">
        <v>104</v>
      </c>
      <c r="C5" s="59">
        <f>SUMIF(Dataset!$H$1:$H$40,"&gt;20")</f>
        <v>1473.0000000000002</v>
      </c>
      <c r="E5" s="1">
        <v>10</v>
      </c>
    </row>
    <row r="6" spans="1:5">
      <c r="A6" s="6">
        <v>4</v>
      </c>
      <c r="B6" s="2" t="s">
        <v>106</v>
      </c>
      <c r="C6" s="2" t="s">
        <v>185</v>
      </c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>
      <c r="A1" s="40" t="s">
        <v>55</v>
      </c>
      <c r="B1" s="39" t="s">
        <v>163</v>
      </c>
    </row>
    <row r="2" spans="1:7" s="39" customFormat="1" ht="21">
      <c r="B2" s="39" t="s">
        <v>160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7" t="s">
        <v>161</v>
      </c>
      <c r="B4" s="1"/>
      <c r="C4" s="1"/>
      <c r="D4" s="1"/>
      <c r="E4" s="1"/>
      <c r="F4" s="1"/>
      <c r="G4" s="1"/>
    </row>
    <row r="5" spans="1:7" ht="14.4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>
      <c r="A6" s="7" t="s">
        <v>40</v>
      </c>
      <c r="B6" s="43">
        <f>INDEX(Dataset!$A$1:$X$40,MATCH($A6,Dataset!$A$1:$A$40,0),MATCH(Task_2!B$5,Dataset!$A$1:$X$1,0))</f>
        <v>2.7</v>
      </c>
      <c r="C6" s="43">
        <f>INDEX(Dataset!$A$1:$X$40,MATCH($A6,Dataset!$A$1:$A$40,0),MATCH(Task_2!C$5,Dataset!$A$1:$X$1,0))</f>
        <v>7.6</v>
      </c>
      <c r="D6" s="43">
        <f>INDEX(Dataset!$A$1:$X$40,MATCH($A6,Dataset!$A$1:$A$40,0),MATCH(Task_2!D$5,Dataset!$A$1:$X$1,0))</f>
        <v>4.2</v>
      </c>
      <c r="E6" s="43">
        <f>INDEX(Dataset!$A$1:$X$40,MATCH($A6,Dataset!$A$1:$A$40,0),MATCH(Task_2!E$5,Dataset!$A$1:$X$1,0))</f>
        <v>8.9</v>
      </c>
      <c r="F6" s="43">
        <f>INDEX(Dataset!$A$1:$X$40,MATCH($A6,Dataset!$A$1:$A$40,0),MATCH(Task_2!F$5,Dataset!$A$1:$X$1,0))</f>
        <v>4.2</v>
      </c>
    </row>
    <row r="7" spans="1:7" ht="14.4">
      <c r="A7" s="7" t="s">
        <v>4</v>
      </c>
      <c r="B7" s="43">
        <f>INDEX(Dataset!$A$1:$X$40,MATCH($A7,Dataset!$A$1:$A$40,0),MATCH(Task_2!B$5,Dataset!$A$1:$X$1,0))</f>
        <v>2.7</v>
      </c>
      <c r="C7" s="43">
        <f>INDEX(Dataset!$A$1:$X$40,MATCH($A7,Dataset!$A$1:$A$40,0),MATCH(Task_2!C$5,Dataset!$A$1:$X$1,0))</f>
        <v>7.6</v>
      </c>
      <c r="D7" s="43">
        <f>INDEX(Dataset!$A$1:$X$40,MATCH($A7,Dataset!$A$1:$A$40,0),MATCH(Task_2!D$5,Dataset!$A$1:$X$1,0))</f>
        <v>4.2</v>
      </c>
      <c r="E7" s="43">
        <f>INDEX(Dataset!$A$1:$X$40,MATCH($A7,Dataset!$A$1:$A$40,0),MATCH(Task_2!E$5,Dataset!$A$1:$X$1,0))</f>
        <v>8.9</v>
      </c>
      <c r="F7" s="43">
        <f>INDEX(Dataset!$A$1:$X$40,MATCH($A7,Dataset!$A$1:$A$40,0),MATCH(Task_2!F$5,Dataset!$A$1:$X$1,0))</f>
        <v>4.2</v>
      </c>
    </row>
    <row r="8" spans="1:7" ht="14.4">
      <c r="A8" s="7" t="s">
        <v>7</v>
      </c>
      <c r="B8" s="43">
        <f>INDEX(Dataset!$A$1:$X$40,MATCH($A8,Dataset!$A$1:$A$40,0),MATCH(Task_2!B$5,Dataset!$A$1:$X$1,0))</f>
        <v>3.6</v>
      </c>
      <c r="C8" s="43">
        <f>INDEX(Dataset!$A$1:$X$40,MATCH($A8,Dataset!$A$1:$A$40,0),MATCH(Task_2!C$5,Dataset!$A$1:$X$1,0))</f>
        <v>11.1</v>
      </c>
      <c r="D8" s="43">
        <f>INDEX(Dataset!$A$1:$X$40,MATCH($A8,Dataset!$A$1:$A$40,0),MATCH(Task_2!D$5,Dataset!$A$1:$X$1,0))</f>
        <v>5.8</v>
      </c>
      <c r="E8" s="43">
        <f>INDEX(Dataset!$A$1:$X$40,MATCH($A8,Dataset!$A$1:$A$40,0),MATCH(Task_2!E$5,Dataset!$A$1:$X$1,0))</f>
        <v>12.2</v>
      </c>
      <c r="F8" s="43">
        <f>INDEX(Dataset!$A$1:$X$40,MATCH($A8,Dataset!$A$1:$A$40,0),MATCH(Task_2!F$5,Dataset!$A$1:$X$1,0))</f>
        <v>5.8</v>
      </c>
    </row>
    <row r="9" spans="1:7" ht="14.4">
      <c r="A9" s="7" t="s">
        <v>8</v>
      </c>
      <c r="B9" s="43">
        <f>INDEX(Dataset!$A$1:$X$40,MATCH($A9,Dataset!$A$1:$A$40,0),MATCH(Task_2!B$5,Dataset!$A$1:$X$1,0))</f>
        <v>4.9000000000000004</v>
      </c>
      <c r="C9" s="43">
        <f>INDEX(Dataset!$A$1:$X$40,MATCH($A9,Dataset!$A$1:$A$40,0),MATCH(Task_2!C$5,Dataset!$A$1:$X$1,0))</f>
        <v>13.3</v>
      </c>
      <c r="D9" s="43">
        <f>INDEX(Dataset!$A$1:$X$40,MATCH($A9,Dataset!$A$1:$A$40,0),MATCH(Task_2!D$5,Dataset!$A$1:$X$1,0))</f>
        <v>8.1</v>
      </c>
      <c r="E9" s="43">
        <f>INDEX(Dataset!$A$1:$X$40,MATCH($A9,Dataset!$A$1:$A$40,0),MATCH(Task_2!E$5,Dataset!$A$1:$X$1,0))</f>
        <v>17</v>
      </c>
      <c r="F9" s="43">
        <f>INDEX(Dataset!$A$1:$X$40,MATCH($A9,Dataset!$A$1:$A$40,0),MATCH(Task_2!F$5,Dataset!$A$1:$X$1,0))</f>
        <v>8.1</v>
      </c>
    </row>
    <row r="10" spans="1:7" ht="14.4">
      <c r="A10" s="7" t="s">
        <v>11</v>
      </c>
      <c r="B10" s="43">
        <f>INDEX(Dataset!$A$1:$X$40,MATCH($A10,Dataset!$A$1:$A$40,0),MATCH(Task_2!B$5,Dataset!$A$1:$X$1,0))</f>
        <v>9.4</v>
      </c>
      <c r="C10" s="43">
        <f>INDEX(Dataset!$A$1:$X$40,MATCH($A10,Dataset!$A$1:$A$40,0),MATCH(Task_2!C$5,Dataset!$A$1:$X$1,0))</f>
        <v>28.3</v>
      </c>
      <c r="D10" s="43">
        <f>INDEX(Dataset!$A$1:$X$40,MATCH($A10,Dataset!$A$1:$A$40,0),MATCH(Task_2!D$5,Dataset!$A$1:$X$1,0))</f>
        <v>16.100000000000001</v>
      </c>
      <c r="E10" s="43">
        <f>INDEX(Dataset!$A$1:$X$40,MATCH($A10,Dataset!$A$1:$A$40,0),MATCH(Task_2!E$5,Dataset!$A$1:$X$1,0))</f>
        <v>32.799999999999997</v>
      </c>
      <c r="F10" s="43">
        <f>INDEX(Dataset!$A$1:$X$40,MATCH($A10,Dataset!$A$1:$A$40,0),MATCH(Task_2!F$5,Dataset!$A$1:$X$1,0))</f>
        <v>16.100000000000001</v>
      </c>
    </row>
    <row r="11" spans="1:7" ht="14.4">
      <c r="A11" s="7" t="s">
        <v>12</v>
      </c>
      <c r="B11" s="43">
        <f>INDEX(Dataset!$A$1:$X$40,MATCH($A11,Dataset!$A$1:$A$40,0),MATCH(Task_2!B$5,Dataset!$A$1:$X$1,0))</f>
        <v>11.6</v>
      </c>
      <c r="C11" s="43">
        <f>INDEX(Dataset!$A$1:$X$40,MATCH($A11,Dataset!$A$1:$A$40,0),MATCH(Task_2!C$5,Dataset!$A$1:$X$1,0))</f>
        <v>35.200000000000003</v>
      </c>
      <c r="D11" s="43">
        <f>INDEX(Dataset!$A$1:$X$40,MATCH($A11,Dataset!$A$1:$A$40,0),MATCH(Task_2!D$5,Dataset!$A$1:$X$1,0))</f>
        <v>21.3</v>
      </c>
      <c r="E11" s="43">
        <f>INDEX(Dataset!$A$1:$X$40,MATCH($A11,Dataset!$A$1:$A$40,0),MATCH(Task_2!E$5,Dataset!$A$1:$X$1,0))</f>
        <v>43</v>
      </c>
      <c r="F11" s="43">
        <f>INDEX(Dataset!$A$1:$X$40,MATCH($A11,Dataset!$A$1:$A$40,0),MATCH(Task_2!F$5,Dataset!$A$1:$X$1,0))</f>
        <v>21.3</v>
      </c>
    </row>
    <row r="12" spans="1:7" ht="14.4">
      <c r="A12" s="7" t="s">
        <v>14</v>
      </c>
      <c r="B12" s="43">
        <f>INDEX(Dataset!$A$1:$X$40,MATCH($A12,Dataset!$A$1:$A$40,0),MATCH(Task_2!B$5,Dataset!$A$1:$X$1,0))</f>
        <v>18.399999999999999</v>
      </c>
      <c r="C12" s="43">
        <f>INDEX(Dataset!$A$1:$X$40,MATCH($A12,Dataset!$A$1:$A$40,0),MATCH(Task_2!C$5,Dataset!$A$1:$X$1,0))</f>
        <v>55.6</v>
      </c>
      <c r="D12" s="43">
        <f>INDEX(Dataset!$A$1:$X$40,MATCH($A12,Dataset!$A$1:$A$40,0),MATCH(Task_2!D$5,Dataset!$A$1:$X$1,0))</f>
        <v>33.799999999999997</v>
      </c>
      <c r="E12" s="43">
        <f>INDEX(Dataset!$A$1:$X$40,MATCH($A12,Dataset!$A$1:$A$40,0),MATCH(Task_2!E$5,Dataset!$A$1:$X$1,0))</f>
        <v>67.900000000000006</v>
      </c>
      <c r="F12" s="43">
        <f>INDEX(Dataset!$A$1:$X$40,MATCH($A12,Dataset!$A$1:$A$40,0),MATCH(Task_2!F$5,Dataset!$A$1:$X$1,0))</f>
        <v>33.799999999999997</v>
      </c>
    </row>
    <row r="13" spans="1:7" ht="14.4">
      <c r="A13" s="7" t="s">
        <v>15</v>
      </c>
      <c r="B13" s="43">
        <f>INDEX(Dataset!$A$1:$X$40,MATCH($A13,Dataset!$A$1:$A$40,0),MATCH(Task_2!B$5,Dataset!$A$1:$X$1,0))</f>
        <v>0</v>
      </c>
      <c r="C13" s="43">
        <f>INDEX(Dataset!$A$1:$X$40,MATCH($A13,Dataset!$A$1:$A$40,0),MATCH(Task_2!C$5,Dataset!$A$1:$X$1,0))</f>
        <v>0</v>
      </c>
      <c r="D13" s="43">
        <f>INDEX(Dataset!$A$1:$X$40,MATCH($A13,Dataset!$A$1:$A$40,0),MATCH(Task_2!D$5,Dataset!$A$1:$X$1,0))</f>
        <v>0</v>
      </c>
      <c r="E13" s="43">
        <f>INDEX(Dataset!$A$1:$X$40,MATCH($A13,Dataset!$A$1:$A$40,0),MATCH(Task_2!E$5,Dataset!$A$1:$X$1,0))</f>
        <v>0</v>
      </c>
      <c r="F13" s="43">
        <f>INDEX(Dataset!$A$1:$X$40,MATCH($A13,Dataset!$A$1:$A$40,0),MATCH(Task_2!F$5,Dataset!$A$1:$X$1,0))</f>
        <v>0</v>
      </c>
    </row>
    <row r="14" spans="1:7" ht="14.4">
      <c r="A14" s="7" t="s">
        <v>16</v>
      </c>
      <c r="B14" s="43">
        <f>INDEX(Dataset!$A$1:$X$40,MATCH($A14,Dataset!$A$1:$A$40,0),MATCH(Task_2!B$5,Dataset!$A$1:$X$1,0))</f>
        <v>21.9</v>
      </c>
      <c r="C14" s="43">
        <f>INDEX(Dataset!$A$1:$X$40,MATCH($A14,Dataset!$A$1:$A$40,0),MATCH(Task_2!C$5,Dataset!$A$1:$X$1,0))</f>
        <v>61.5</v>
      </c>
      <c r="D14" s="43">
        <f>INDEX(Dataset!$A$1:$X$40,MATCH($A14,Dataset!$A$1:$A$40,0),MATCH(Task_2!D$5,Dataset!$A$1:$X$1,0))</f>
        <v>40.1</v>
      </c>
      <c r="E14" s="43">
        <f>INDEX(Dataset!$A$1:$X$40,MATCH($A14,Dataset!$A$1:$A$40,0),MATCH(Task_2!E$5,Dataset!$A$1:$X$1,0))</f>
        <v>76.599999999999994</v>
      </c>
      <c r="F14" s="43">
        <f>INDEX(Dataset!$A$1:$X$40,MATCH($A14,Dataset!$A$1:$A$40,0),MATCH(Task_2!F$5,Dataset!$A$1:$X$1,0))</f>
        <v>40.1</v>
      </c>
    </row>
    <row r="15" spans="1:7" ht="14.4">
      <c r="A15" s="7" t="s">
        <v>18</v>
      </c>
      <c r="B15" s="43">
        <f>INDEX(Dataset!$A$1:$X$40,MATCH($A15,Dataset!$A$1:$A$40,0),MATCH(Task_2!B$5,Dataset!$A$1:$X$1,0))</f>
        <v>26.8</v>
      </c>
      <c r="C15" s="43">
        <f>INDEX(Dataset!$A$1:$X$40,MATCH($A15,Dataset!$A$1:$A$40,0),MATCH(Task_2!C$5,Dataset!$A$1:$X$1,0))</f>
        <v>79.599999999999994</v>
      </c>
      <c r="D15" s="43">
        <f>INDEX(Dataset!$A$1:$X$40,MATCH($A15,Dataset!$A$1:$A$40,0),MATCH(Task_2!D$5,Dataset!$A$1:$X$1,0))</f>
        <v>47.9</v>
      </c>
      <c r="E15" s="43">
        <f>INDEX(Dataset!$A$1:$X$40,MATCH($A15,Dataset!$A$1:$A$40,0),MATCH(Task_2!E$5,Dataset!$A$1:$X$1,0))</f>
        <v>96.8</v>
      </c>
      <c r="F15" s="43">
        <f>INDEX(Dataset!$A$1:$X$40,MATCH($A15,Dataset!$A$1:$A$40,0),MATCH(Task_2!F$5,Dataset!$A$1:$X$1,0))</f>
        <v>47.9</v>
      </c>
    </row>
    <row r="16" spans="1:7" ht="14.4">
      <c r="A16" s="7" t="s">
        <v>20</v>
      </c>
      <c r="B16" s="43">
        <f>INDEX(Dataset!$A$1:$X$40,MATCH($A16,Dataset!$A$1:$A$40,0),MATCH(Task_2!B$5,Dataset!$A$1:$X$1,0))</f>
        <v>28.5</v>
      </c>
      <c r="C16" s="43">
        <f>INDEX(Dataset!$A$1:$X$40,MATCH($A16,Dataset!$A$1:$A$40,0),MATCH(Task_2!C$5,Dataset!$A$1:$X$1,0))</f>
        <v>85.4</v>
      </c>
      <c r="D16" s="43">
        <f>INDEX(Dataset!$A$1:$X$40,MATCH($A16,Dataset!$A$1:$A$40,0),MATCH(Task_2!D$5,Dataset!$A$1:$X$1,0))</f>
        <v>52.3</v>
      </c>
      <c r="E16" s="43">
        <f>INDEX(Dataset!$A$1:$X$40,MATCH($A16,Dataset!$A$1:$A$40,0),MATCH(Task_2!E$5,Dataset!$A$1:$X$1,0))</f>
        <v>106.1</v>
      </c>
      <c r="F16" s="43">
        <f>INDEX(Dataset!$A$1:$X$40,MATCH($A16,Dataset!$A$1:$A$40,0),MATCH(Task_2!F$5,Dataset!$A$1:$X$1,0))</f>
        <v>52.3</v>
      </c>
    </row>
    <row r="17" spans="1:6" ht="14.4">
      <c r="A17" s="7" t="s">
        <v>22</v>
      </c>
      <c r="B17" s="43">
        <f>INDEX(Dataset!$A$1:$X$40,MATCH($A17,Dataset!$A$1:$A$40,0),MATCH(Task_2!B$5,Dataset!$A$1:$X$1,0))</f>
        <v>30.7</v>
      </c>
      <c r="C17" s="43">
        <f>INDEX(Dataset!$A$1:$X$40,MATCH($A17,Dataset!$A$1:$A$40,0),MATCH(Task_2!C$5,Dataset!$A$1:$X$1,0))</f>
        <v>92.1</v>
      </c>
      <c r="D17" s="43">
        <f>INDEX(Dataset!$A$1:$X$40,MATCH($A17,Dataset!$A$1:$A$40,0),MATCH(Task_2!D$5,Dataset!$A$1:$X$1,0))</f>
        <v>57</v>
      </c>
      <c r="E17" s="43">
        <f>INDEX(Dataset!$A$1:$X$40,MATCH($A17,Dataset!$A$1:$A$40,0),MATCH(Task_2!E$5,Dataset!$A$1:$X$1,0))</f>
        <v>115.1</v>
      </c>
      <c r="F17" s="43">
        <f>INDEX(Dataset!$A$1:$X$40,MATCH($A17,Dataset!$A$1:$A$40,0),MATCH(Task_2!F$5,Dataset!$A$1:$X$1,0))</f>
        <v>57</v>
      </c>
    </row>
    <row r="18" spans="1:6" ht="14.4">
      <c r="A18" s="7" t="s">
        <v>23</v>
      </c>
      <c r="B18" s="43">
        <f>INDEX(Dataset!$A$1:$X$40,MATCH($A18,Dataset!$A$1:$A$40,0),MATCH(Task_2!B$5,Dataset!$A$1:$X$1,0))</f>
        <v>33.799999999999997</v>
      </c>
      <c r="C18" s="43">
        <f>INDEX(Dataset!$A$1:$X$40,MATCH($A18,Dataset!$A$1:$A$40,0),MATCH(Task_2!C$5,Dataset!$A$1:$X$1,0))</f>
        <v>101.3</v>
      </c>
      <c r="D18" s="43">
        <f>INDEX(Dataset!$A$1:$X$40,MATCH($A18,Dataset!$A$1:$A$40,0),MATCH(Task_2!D$5,Dataset!$A$1:$X$1,0))</f>
        <v>61.4</v>
      </c>
      <c r="E18" s="43">
        <f>INDEX(Dataset!$A$1:$X$40,MATCH($A18,Dataset!$A$1:$A$40,0),MATCH(Task_2!E$5,Dataset!$A$1:$X$1,0))</f>
        <v>124.4</v>
      </c>
      <c r="F18" s="43">
        <f>INDEX(Dataset!$A$1:$X$40,MATCH($A18,Dataset!$A$1:$A$40,0),MATCH(Task_2!F$5,Dataset!$A$1:$X$1,0))</f>
        <v>61.4</v>
      </c>
    </row>
    <row r="19" spans="1:6" ht="14.4">
      <c r="A19" s="7" t="s">
        <v>24</v>
      </c>
      <c r="B19" s="43">
        <f>INDEX(Dataset!$A$1:$X$40,MATCH($A19,Dataset!$A$1:$A$40,0),MATCH(Task_2!B$5,Dataset!$A$1:$X$1,0))</f>
        <v>34.700000000000003</v>
      </c>
      <c r="C19" s="43">
        <f>INDEX(Dataset!$A$1:$X$40,MATCH($A19,Dataset!$A$1:$A$40,0),MATCH(Task_2!C$5,Dataset!$A$1:$X$1,0))</f>
        <v>106.1</v>
      </c>
      <c r="D19" s="43">
        <f>INDEX(Dataset!$A$1:$X$40,MATCH($A19,Dataset!$A$1:$A$40,0),MATCH(Task_2!D$5,Dataset!$A$1:$X$1,0))</f>
        <v>63.6</v>
      </c>
      <c r="E19" s="43">
        <f>INDEX(Dataset!$A$1:$X$40,MATCH($A19,Dataset!$A$1:$A$40,0),MATCH(Task_2!E$5,Dataset!$A$1:$X$1,0))</f>
        <v>128.6</v>
      </c>
      <c r="F19" s="43">
        <f>INDEX(Dataset!$A$1:$X$40,MATCH($A19,Dataset!$A$1:$A$40,0),MATCH(Task_2!F$5,Dataset!$A$1:$X$1,0))</f>
        <v>63.6</v>
      </c>
    </row>
    <row r="20" spans="1:6" ht="14.4">
      <c r="A20" s="7" t="s">
        <v>28</v>
      </c>
      <c r="B20" s="43">
        <f>INDEX(Dataset!$A$1:$X$40,MATCH($A20,Dataset!$A$1:$A$40,0),MATCH(Task_2!B$5,Dataset!$A$1:$X$1,0))</f>
        <v>0</v>
      </c>
      <c r="C20" s="43">
        <f>INDEX(Dataset!$A$1:$X$40,MATCH($A20,Dataset!$A$1:$A$40,0),MATCH(Task_2!C$5,Dataset!$A$1:$X$1,0))</f>
        <v>0</v>
      </c>
      <c r="D20" s="43">
        <f>INDEX(Dataset!$A$1:$X$40,MATCH($A20,Dataset!$A$1:$A$40,0),MATCH(Task_2!D$5,Dataset!$A$1:$X$1,0))</f>
        <v>0</v>
      </c>
      <c r="E20" s="43">
        <f>INDEX(Dataset!$A$1:$X$40,MATCH($A20,Dataset!$A$1:$A$40,0),MATCH(Task_2!E$5,Dataset!$A$1:$X$1,0))</f>
        <v>0</v>
      </c>
      <c r="F20" s="43">
        <f>INDEX(Dataset!$A$1:$X$40,MATCH($A20,Dataset!$A$1:$A$40,0),MATCH(Task_2!F$5,Dataset!$A$1:$X$1,0))</f>
        <v>0</v>
      </c>
    </row>
    <row r="21" spans="1:6" ht="14.4">
      <c r="A21" s="7" t="s">
        <v>57</v>
      </c>
      <c r="B21" s="43">
        <f>INDEX(Dataset!$A$1:$X$40,MATCH($A21,Dataset!$A$1:$A$40,0),MATCH(Task_2!B$5,Dataset!$A$1:$X$1,0))</f>
        <v>41.3</v>
      </c>
      <c r="C21" s="43">
        <f>INDEX(Dataset!$A$1:$X$40,MATCH($A21,Dataset!$A$1:$A$40,0),MATCH(Task_2!C$5,Dataset!$A$1:$X$1,0))</f>
        <v>124.4</v>
      </c>
      <c r="D21" s="43">
        <f>INDEX(Dataset!$A$1:$X$40,MATCH($A21,Dataset!$A$1:$A$40,0),MATCH(Task_2!D$5,Dataset!$A$1:$X$1,0))</f>
        <v>75</v>
      </c>
      <c r="E21" s="43">
        <f>INDEX(Dataset!$A$1:$X$40,MATCH($A21,Dataset!$A$1:$A$40,0),MATCH(Task_2!E$5,Dataset!$A$1:$X$1,0))</f>
        <v>151.5</v>
      </c>
      <c r="F21" s="43">
        <f>INDEX(Dataset!$A$1:$X$40,MATCH($A21,Dataset!$A$1:$A$40,0),MATCH(Task_2!F$5,Dataset!$A$1:$X$1,0))</f>
        <v>75</v>
      </c>
    </row>
    <row r="22" spans="1:6" ht="14.4">
      <c r="A22" s="7" t="s">
        <v>58</v>
      </c>
      <c r="B22" s="43">
        <f>INDEX(Dataset!$A$1:$X$40,MATCH($A22,Dataset!$A$1:$A$40,0),MATCH(Task_2!B$5,Dataset!$A$1:$X$1,0))</f>
        <v>-1</v>
      </c>
      <c r="C22" s="43">
        <f>INDEX(Dataset!$A$1:$X$40,MATCH($A22,Dataset!$A$1:$A$40,0),MATCH(Task_2!C$5,Dataset!$A$1:$X$1,0))</f>
        <v>-1</v>
      </c>
      <c r="D22" s="43">
        <f>INDEX(Dataset!$A$1:$X$40,MATCH($A22,Dataset!$A$1:$A$40,0),MATCH(Task_2!D$5,Dataset!$A$1:$X$1,0))</f>
        <v>-1</v>
      </c>
      <c r="E22" s="43">
        <f>INDEX(Dataset!$A$1:$X$40,MATCH($A22,Dataset!$A$1:$A$40,0),MATCH(Task_2!E$5,Dataset!$A$1:$X$1,0))</f>
        <v>-1</v>
      </c>
      <c r="F22" s="43">
        <f>INDEX(Dataset!$A$1:$X$40,MATCH($A22,Dataset!$A$1:$A$40,0),MATCH(Task_2!F$5,Dataset!$A$1:$X$1,0))</f>
        <v>-1</v>
      </c>
    </row>
    <row r="23" spans="1:6" ht="14.4">
      <c r="A23" s="7" t="s">
        <v>31</v>
      </c>
      <c r="B23" s="43">
        <f>INDEX(Dataset!$A$1:$X$40,MATCH($A23,Dataset!$A$1:$A$40,0),MATCH(Task_2!B$5,Dataset!$A$1:$X$1,0))</f>
        <v>45</v>
      </c>
      <c r="C23" s="43">
        <f>INDEX(Dataset!$A$1:$X$40,MATCH($A23,Dataset!$A$1:$A$40,0),MATCH(Task_2!C$5,Dataset!$A$1:$X$1,0))</f>
        <v>133.4</v>
      </c>
      <c r="D23" s="43">
        <f>INDEX(Dataset!$A$1:$X$40,MATCH($A23,Dataset!$A$1:$A$40,0),MATCH(Task_2!D$5,Dataset!$A$1:$X$1,0))</f>
        <v>79.400000000000006</v>
      </c>
      <c r="E23" s="43">
        <f>INDEX(Dataset!$A$1:$X$40,MATCH($A23,Dataset!$A$1:$A$40,0),MATCH(Task_2!E$5,Dataset!$A$1:$X$1,0))</f>
        <v>160.9</v>
      </c>
      <c r="F23" s="43">
        <f>INDEX(Dataset!$A$1:$X$40,MATCH($A23,Dataset!$A$1:$A$40,0),MATCH(Task_2!F$5,Dataset!$A$1:$X$1,0))</f>
        <v>79.400000000000006</v>
      </c>
    </row>
    <row r="24" spans="1:6" ht="14.4">
      <c r="A24" s="7" t="s">
        <v>32</v>
      </c>
      <c r="B24" s="43">
        <f>INDEX(Dataset!$A$1:$X$40,MATCH($A24,Dataset!$A$1:$A$40,0),MATCH(Task_2!B$5,Dataset!$A$1:$X$1,0))</f>
        <v>-1</v>
      </c>
      <c r="C24" s="43">
        <f>INDEX(Dataset!$A$1:$X$40,MATCH($A24,Dataset!$A$1:$A$40,0),MATCH(Task_2!C$5,Dataset!$A$1:$X$1,0))</f>
        <v>-1</v>
      </c>
      <c r="D24" s="43">
        <f>INDEX(Dataset!$A$1:$X$40,MATCH($A24,Dataset!$A$1:$A$40,0),MATCH(Task_2!D$5,Dataset!$A$1:$X$1,0))</f>
        <v>-1</v>
      </c>
      <c r="E24" s="43">
        <f>INDEX(Dataset!$A$1:$X$40,MATCH($A24,Dataset!$A$1:$A$40,0),MATCH(Task_2!E$5,Dataset!$A$1:$X$1,0))</f>
        <v>-1</v>
      </c>
      <c r="F24" s="43">
        <f>INDEX(Dataset!$A$1:$X$40,MATCH($A24,Dataset!$A$1:$A$40,0),MATCH(Task_2!F$5,Dataset!$A$1:$X$1,0))</f>
        <v>-1</v>
      </c>
    </row>
    <row r="25" spans="1:6" ht="14.4">
      <c r="A25" s="7" t="s">
        <v>34</v>
      </c>
      <c r="B25" s="43">
        <f>INDEX(Dataset!$A$1:$X$40,MATCH($A25,Dataset!$A$1:$A$40,0),MATCH(Task_2!B$5,Dataset!$A$1:$X$1,0))</f>
        <v>43.3</v>
      </c>
      <c r="C25" s="43">
        <f>INDEX(Dataset!$A$1:$X$40,MATCH($A25,Dataset!$A$1:$A$40,0),MATCH(Task_2!C$5,Dataset!$A$1:$X$1,0))</f>
        <v>128.6</v>
      </c>
      <c r="D25" s="43">
        <f>INDEX(Dataset!$A$1:$X$40,MATCH($A25,Dataset!$A$1:$A$40,0),MATCH(Task_2!D$5,Dataset!$A$1:$X$1,0))</f>
        <v>79.400000000000006</v>
      </c>
      <c r="E25" s="43">
        <f>INDEX(Dataset!$A$1:$X$40,MATCH($A25,Dataset!$A$1:$A$40,0),MATCH(Task_2!E$5,Dataset!$A$1:$X$1,0))</f>
        <v>160.9</v>
      </c>
      <c r="F25" s="43">
        <f>INDEX(Dataset!$A$1:$X$40,MATCH($A25,Dataset!$A$1:$A$40,0),MATCH(Task_2!F$5,Dataset!$A$1:$X$1,0))</f>
        <v>79.400000000000006</v>
      </c>
    </row>
    <row r="26" spans="1:6" ht="14.4">
      <c r="A26" s="7" t="s">
        <v>37</v>
      </c>
      <c r="B26" s="43">
        <f>INDEX(Dataset!$A$1:$X$40,MATCH($A26,Dataset!$A$1:$A$40,0),MATCH(Task_2!B$5,Dataset!$A$1:$X$1,0))</f>
        <v>49.1</v>
      </c>
      <c r="C26" s="43">
        <f>INDEX(Dataset!$A$1:$X$40,MATCH($A26,Dataset!$A$1:$A$40,0),MATCH(Task_2!C$5,Dataset!$A$1:$X$1,0))</f>
        <v>146.80000000000001</v>
      </c>
      <c r="D26" s="43">
        <f>INDEX(Dataset!$A$1:$X$40,MATCH($A26,Dataset!$A$1:$A$40,0),MATCH(Task_2!D$5,Dataset!$A$1:$X$1,0))</f>
        <v>90.9</v>
      </c>
      <c r="E26" s="43">
        <f>INDEX(Dataset!$A$1:$X$40,MATCH($A26,Dataset!$A$1:$A$40,0),MATCH(Task_2!E$5,Dataset!$A$1:$X$1,0))</f>
        <v>183.5</v>
      </c>
      <c r="F26" s="43">
        <f>INDEX(Dataset!$A$1:$X$40,MATCH($A26,Dataset!$A$1:$A$40,0),MATCH(Task_2!F$5,Dataset!$A$1:$X$1,0))</f>
        <v>90.9</v>
      </c>
    </row>
    <row r="27" spans="1:6" ht="14.4">
      <c r="A27" s="7" t="s">
        <v>39</v>
      </c>
      <c r="B27" s="43">
        <f>INDEX(Dataset!$A$1:$X$40,MATCH($A27,Dataset!$A$1:$A$40,0),MATCH(Task_2!B$5,Dataset!$A$1:$X$1,0))</f>
        <v>51.8</v>
      </c>
      <c r="C27" s="43">
        <f>INDEX(Dataset!$A$1:$X$40,MATCH($A27,Dataset!$A$1:$A$40,0),MATCH(Task_2!C$5,Dataset!$A$1:$X$1,0))</f>
        <v>156.4</v>
      </c>
      <c r="D27" s="43">
        <f>INDEX(Dataset!$A$1:$X$40,MATCH($A27,Dataset!$A$1:$A$40,0),MATCH(Task_2!D$5,Dataset!$A$1:$X$1,0))</f>
        <v>93.1</v>
      </c>
      <c r="E27" s="43">
        <f>INDEX(Dataset!$A$1:$X$40,MATCH($A27,Dataset!$A$1:$A$40,0),MATCH(Task_2!E$5,Dataset!$A$1:$X$1,0))</f>
        <v>188.1</v>
      </c>
      <c r="F27" s="43">
        <f>INDEX(Dataset!$A$1:$X$40,MATCH($A27,Dataset!$A$1:$A$40,0),MATCH(Task_2!F$5,Dataset!$A$1:$X$1,0))</f>
        <v>93.1</v>
      </c>
    </row>
    <row r="28" spans="1:6" ht="14.4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L57"/>
  <sheetViews>
    <sheetView zoomScaleNormal="100" workbookViewId="0">
      <selection activeCell="A5" sqref="A5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39" customFormat="1" ht="21">
      <c r="A1" s="40" t="s">
        <v>56</v>
      </c>
      <c r="B1" s="39" t="s">
        <v>173</v>
      </c>
    </row>
    <row r="2" spans="1:10" customFormat="1" ht="13.2"/>
    <row r="3" spans="1:10" s="2" customFormat="1">
      <c r="B3" s="1"/>
    </row>
    <row r="4" spans="1:10" s="2" customFormat="1">
      <c r="B4" s="1" t="s">
        <v>150</v>
      </c>
    </row>
    <row r="5" spans="1:10" ht="18">
      <c r="A5" s="41" t="s">
        <v>53</v>
      </c>
      <c r="B5" s="3" t="s">
        <v>184</v>
      </c>
    </row>
    <row r="6" spans="1:10" ht="18">
      <c r="A6" s="41" t="s">
        <v>152</v>
      </c>
      <c r="B6" s="1" t="s">
        <v>181</v>
      </c>
    </row>
    <row r="7" spans="1:10" ht="18">
      <c r="A7" s="41"/>
      <c r="B7" s="1" t="s">
        <v>178</v>
      </c>
    </row>
    <row r="8" spans="1:10">
      <c r="B8" s="1" t="s">
        <v>179</v>
      </c>
    </row>
    <row r="9" spans="1:10">
      <c r="B9" s="1" t="s">
        <v>180</v>
      </c>
    </row>
    <row r="10" spans="1:10">
      <c r="A10" s="3" t="s">
        <v>182</v>
      </c>
      <c r="B10" s="1" t="s">
        <v>183</v>
      </c>
    </row>
    <row r="12" spans="1:10" ht="23.4">
      <c r="A12" s="17" t="s">
        <v>164</v>
      </c>
      <c r="I12" s="2"/>
      <c r="J12" s="2"/>
    </row>
    <row r="13" spans="1:10">
      <c r="A13" s="32" t="s">
        <v>102</v>
      </c>
      <c r="B13" s="16" t="s">
        <v>49</v>
      </c>
      <c r="C13" s="16" t="s">
        <v>50</v>
      </c>
      <c r="D13" s="16" t="s">
        <v>51</v>
      </c>
      <c r="E13" s="16" t="s">
        <v>52</v>
      </c>
      <c r="F13" s="16" t="s">
        <v>54</v>
      </c>
      <c r="I13" s="2"/>
      <c r="J13" s="2"/>
    </row>
    <row r="14" spans="1:10">
      <c r="A14" s="9" t="s">
        <v>120</v>
      </c>
      <c r="B14" s="13">
        <v>20000</v>
      </c>
      <c r="C14" s="13" t="s">
        <v>5</v>
      </c>
      <c r="D14" s="13">
        <v>0</v>
      </c>
      <c r="E14" s="11" t="s">
        <v>6</v>
      </c>
      <c r="F14" s="11">
        <v>24</v>
      </c>
      <c r="I14" s="2"/>
      <c r="J14" s="2"/>
    </row>
    <row r="17" spans="1:12" ht="23.4">
      <c r="A17" s="17" t="s">
        <v>161</v>
      </c>
    </row>
    <row r="18" spans="1:12">
      <c r="A18" s="14" t="s">
        <v>103</v>
      </c>
      <c r="B18" s="16" t="s">
        <v>49</v>
      </c>
      <c r="C18" s="15" t="s">
        <v>50</v>
      </c>
      <c r="D18" s="16" t="s">
        <v>51</v>
      </c>
      <c r="E18" s="15" t="s">
        <v>52</v>
      </c>
      <c r="F18" s="16" t="s">
        <v>54</v>
      </c>
    </row>
    <row r="19" spans="1:12">
      <c r="A19" s="7" t="s">
        <v>120</v>
      </c>
      <c r="B19" s="44" t="str">
        <f>LEFT(A19, FIND("-", A19) - 1)</f>
        <v>20000</v>
      </c>
      <c r="C19" s="45" t="str">
        <f>MID(A19, FIND("-", A19) + 1, FIND("-", A19, FIND("-",A19) + 1) - FIND("-", A19) - 1)</f>
        <v>Monday</v>
      </c>
      <c r="D19" s="44" t="str">
        <f>MID(A19, FIND("-",A19, FIND("-", A19) + 1) + 1, FIND("-", A19, FIND("-", A19, FIND("-", A19) + 1) + 1) - FIND("-", A19, FIND("-", A19) + 1) - 1)</f>
        <v>0</v>
      </c>
      <c r="E19" s="44" t="str">
        <f>MID(A19, FIND("-", A19, FIND("-", A19, FIND("-", A19) + 1) + 1) + 1, FIND("-", A19, FIND("-", A19, FIND("-", A19, FIND("-", A19) + 1) + 1) + 1) - FIND("-", A19, FIND("-", A19, FIND("-", A19) + 1) + 1) - 1)</f>
        <v>Sunday</v>
      </c>
      <c r="F19" s="46" t="str">
        <f>RIGHT(A19, LEN(A19) - FIND("-", A19, FIND("-", A19, FIND("-", A19, FIND("-", A19) + 1) + 1) + 1))</f>
        <v>24</v>
      </c>
    </row>
    <row r="20" spans="1:12">
      <c r="A20" s="7" t="s">
        <v>121</v>
      </c>
      <c r="B20" s="44" t="str">
        <f t="shared" ref="B20:B57" si="0">LEFT(A20, FIND("-", A20) - 1)</f>
        <v>20002</v>
      </c>
      <c r="C20" s="45" t="str">
        <f t="shared" ref="C20:C57" si="1">MID(A20, FIND("-", A20) + 1, FIND("-", A20, FIND("-",A20) + 1) - FIND("-", A20) - 1)</f>
        <v>Monday</v>
      </c>
      <c r="D20" s="44" t="str">
        <f t="shared" ref="D20:D57" si="2">MID(A20, FIND("-",A20, FIND("-", A20) + 1) + 1, FIND("-", A20, FIND("-", A20, FIND("-", A20) + 1) + 1) - FIND("-", A20, FIND("-", A20) + 1) - 1)</f>
        <v>0</v>
      </c>
      <c r="E20" s="44" t="str">
        <f t="shared" ref="E20:E57" si="3">MID(A20, FIND("-", A20, FIND("-", A20, FIND("-", A20) + 1) + 1) + 1, FIND("-", A20, FIND("-", A20, FIND("-", A20, FIND("-", A20) + 1) + 1) + 1) - FIND("-", A20, FIND("-", A20, FIND("-", A20) + 1) + 1) - 1)</f>
        <v>Sunday</v>
      </c>
      <c r="F20" s="46" t="str">
        <f t="shared" ref="F20:F57" si="4">RIGHT(A20, LEN(A20) - FIND("-", A20, FIND("-", A20, FIND("-", A20, FIND("-", A20) + 1) + 1) + 1))</f>
        <v>24</v>
      </c>
    </row>
    <row r="21" spans="1:12">
      <c r="A21" s="7" t="s">
        <v>122</v>
      </c>
      <c r="B21" s="44" t="str">
        <f t="shared" si="0"/>
        <v>20004</v>
      </c>
      <c r="C21" s="45" t="str">
        <f t="shared" si="1"/>
        <v>Monday</v>
      </c>
      <c r="D21" s="44" t="str">
        <f t="shared" si="2"/>
        <v>0</v>
      </c>
      <c r="E21" s="44" t="str">
        <f t="shared" si="3"/>
        <v>Sunday</v>
      </c>
      <c r="F21" s="46" t="str">
        <f t="shared" si="4"/>
        <v>24</v>
      </c>
      <c r="L21" s="43"/>
    </row>
    <row r="22" spans="1:12">
      <c r="A22" s="7" t="s">
        <v>123</v>
      </c>
      <c r="B22" s="44" t="str">
        <f t="shared" si="0"/>
        <v>20006</v>
      </c>
      <c r="C22" s="45" t="str">
        <f t="shared" si="1"/>
        <v>Monday</v>
      </c>
      <c r="D22" s="44" t="str">
        <f t="shared" si="2"/>
        <v>0</v>
      </c>
      <c r="E22" s="44" t="str">
        <f t="shared" si="3"/>
        <v>Sunday</v>
      </c>
      <c r="F22" s="46" t="str">
        <f t="shared" si="4"/>
        <v>24</v>
      </c>
    </row>
    <row r="23" spans="1:12">
      <c r="A23" s="7" t="s">
        <v>124</v>
      </c>
      <c r="B23" s="44" t="str">
        <f t="shared" si="0"/>
        <v>20008</v>
      </c>
      <c r="C23" s="45" t="str">
        <f t="shared" si="1"/>
        <v>Monday</v>
      </c>
      <c r="D23" s="44" t="str">
        <f t="shared" si="2"/>
        <v>0</v>
      </c>
      <c r="E23" s="44" t="str">
        <f t="shared" si="3"/>
        <v>Sunday</v>
      </c>
      <c r="F23" s="46" t="str">
        <f t="shared" si="4"/>
        <v>24</v>
      </c>
    </row>
    <row r="24" spans="1:12">
      <c r="A24" s="7" t="s">
        <v>125</v>
      </c>
      <c r="B24" s="44" t="str">
        <f t="shared" si="0"/>
        <v>20010</v>
      </c>
      <c r="C24" s="45" t="str">
        <f t="shared" si="1"/>
        <v>Monday</v>
      </c>
      <c r="D24" s="44" t="str">
        <f t="shared" si="2"/>
        <v>0</v>
      </c>
      <c r="E24" s="44" t="str">
        <f t="shared" si="3"/>
        <v>Sunday</v>
      </c>
      <c r="F24" s="46" t="str">
        <f t="shared" si="4"/>
        <v>24</v>
      </c>
      <c r="L24" s="43"/>
    </row>
    <row r="25" spans="1:12">
      <c r="A25" s="7" t="s">
        <v>126</v>
      </c>
      <c r="B25" s="44" t="str">
        <f t="shared" si="0"/>
        <v>20012</v>
      </c>
      <c r="C25" s="45" t="str">
        <f t="shared" si="1"/>
        <v>Monday</v>
      </c>
      <c r="D25" s="44" t="str">
        <f t="shared" si="2"/>
        <v>0</v>
      </c>
      <c r="E25" s="44" t="str">
        <f t="shared" si="3"/>
        <v>Sunday</v>
      </c>
      <c r="F25" s="46" t="str">
        <f t="shared" si="4"/>
        <v>24</v>
      </c>
    </row>
    <row r="26" spans="1:12">
      <c r="A26" s="7" t="s">
        <v>127</v>
      </c>
      <c r="B26" s="44" t="str">
        <f t="shared" si="0"/>
        <v>20014</v>
      </c>
      <c r="C26" s="45" t="str">
        <f t="shared" si="1"/>
        <v>Monday</v>
      </c>
      <c r="D26" s="44" t="str">
        <f t="shared" si="2"/>
        <v>0</v>
      </c>
      <c r="E26" s="44" t="str">
        <f t="shared" si="3"/>
        <v>Sunday</v>
      </c>
      <c r="F26" s="46" t="str">
        <f t="shared" si="4"/>
        <v>24</v>
      </c>
    </row>
    <row r="27" spans="1:12">
      <c r="A27" s="7" t="s">
        <v>128</v>
      </c>
      <c r="B27" s="44" t="str">
        <f t="shared" si="0"/>
        <v>20016</v>
      </c>
      <c r="C27" s="45" t="str">
        <f t="shared" si="1"/>
        <v>Monday</v>
      </c>
      <c r="D27" s="44" t="str">
        <f t="shared" si="2"/>
        <v>0</v>
      </c>
      <c r="E27" s="44" t="str">
        <f t="shared" si="3"/>
        <v>Sunday</v>
      </c>
      <c r="F27" s="46" t="str">
        <f t="shared" si="4"/>
        <v>24</v>
      </c>
    </row>
    <row r="28" spans="1:12">
      <c r="A28" s="7" t="s">
        <v>129</v>
      </c>
      <c r="B28" s="44" t="str">
        <f t="shared" si="0"/>
        <v>20018</v>
      </c>
      <c r="C28" s="45" t="str">
        <f t="shared" si="1"/>
        <v>Monday</v>
      </c>
      <c r="D28" s="44" t="str">
        <f t="shared" si="2"/>
        <v>0</v>
      </c>
      <c r="E28" s="44" t="str">
        <f t="shared" si="3"/>
        <v>Sunday</v>
      </c>
      <c r="F28" s="46" t="str">
        <f t="shared" si="4"/>
        <v>24</v>
      </c>
    </row>
    <row r="29" spans="1:12">
      <c r="A29" s="7" t="s">
        <v>130</v>
      </c>
      <c r="B29" s="44" t="str">
        <f t="shared" si="0"/>
        <v>20020</v>
      </c>
      <c r="C29" s="45" t="str">
        <f t="shared" si="1"/>
        <v>Monday</v>
      </c>
      <c r="D29" s="44" t="str">
        <f t="shared" si="2"/>
        <v>0</v>
      </c>
      <c r="E29" s="44" t="str">
        <f t="shared" si="3"/>
        <v>Sunday</v>
      </c>
      <c r="F29" s="46" t="str">
        <f t="shared" si="4"/>
        <v>24</v>
      </c>
    </row>
    <row r="30" spans="1:12">
      <c r="A30" s="7" t="s">
        <v>131</v>
      </c>
      <c r="B30" s="44" t="str">
        <f t="shared" si="0"/>
        <v>20022</v>
      </c>
      <c r="C30" s="45" t="str">
        <f t="shared" si="1"/>
        <v>Monday</v>
      </c>
      <c r="D30" s="44" t="str">
        <f t="shared" si="2"/>
        <v>0</v>
      </c>
      <c r="E30" s="44" t="str">
        <f t="shared" si="3"/>
        <v>Sunday</v>
      </c>
      <c r="F30" s="46" t="str">
        <f t="shared" si="4"/>
        <v>24</v>
      </c>
    </row>
    <row r="31" spans="1:12">
      <c r="A31" s="7" t="s">
        <v>132</v>
      </c>
      <c r="B31" s="44" t="str">
        <f t="shared" si="0"/>
        <v>20024</v>
      </c>
      <c r="C31" s="45" t="str">
        <f t="shared" si="1"/>
        <v>Monday</v>
      </c>
      <c r="D31" s="44" t="str">
        <f t="shared" si="2"/>
        <v>0</v>
      </c>
      <c r="E31" s="44" t="str">
        <f t="shared" si="3"/>
        <v>Sunday</v>
      </c>
      <c r="F31" s="46" t="str">
        <f t="shared" si="4"/>
        <v>24</v>
      </c>
    </row>
    <row r="32" spans="1:12">
      <c r="A32" s="7" t="s">
        <v>133</v>
      </c>
      <c r="B32" s="44" t="str">
        <f t="shared" si="0"/>
        <v>20026</v>
      </c>
      <c r="C32" s="45" t="str">
        <f t="shared" si="1"/>
        <v>Monday</v>
      </c>
      <c r="D32" s="44" t="str">
        <f t="shared" si="2"/>
        <v>0</v>
      </c>
      <c r="E32" s="44" t="str">
        <f t="shared" si="3"/>
        <v>Sunday</v>
      </c>
      <c r="F32" s="46" t="str">
        <f t="shared" si="4"/>
        <v>24</v>
      </c>
    </row>
    <row r="33" spans="1:6">
      <c r="A33" s="7" t="s">
        <v>134</v>
      </c>
      <c r="B33" s="44" t="str">
        <f t="shared" si="0"/>
        <v>20028</v>
      </c>
      <c r="C33" s="45" t="str">
        <f t="shared" si="1"/>
        <v>Monday</v>
      </c>
      <c r="D33" s="44" t="str">
        <f t="shared" si="2"/>
        <v>0</v>
      </c>
      <c r="E33" s="44" t="str">
        <f t="shared" si="3"/>
        <v>Sunday</v>
      </c>
      <c r="F33" s="46" t="str">
        <f t="shared" si="4"/>
        <v>24</v>
      </c>
    </row>
    <row r="34" spans="1:6">
      <c r="A34" s="7" t="s">
        <v>135</v>
      </c>
      <c r="B34" s="44" t="str">
        <f t="shared" si="0"/>
        <v>20030</v>
      </c>
      <c r="C34" s="45" t="str">
        <f t="shared" si="1"/>
        <v>Monday</v>
      </c>
      <c r="D34" s="44" t="str">
        <f t="shared" si="2"/>
        <v>0</v>
      </c>
      <c r="E34" s="44" t="str">
        <f t="shared" si="3"/>
        <v>Sunday</v>
      </c>
      <c r="F34" s="46" t="str">
        <f t="shared" si="4"/>
        <v>24</v>
      </c>
    </row>
    <row r="35" spans="1:6">
      <c r="A35" s="7" t="s">
        <v>136</v>
      </c>
      <c r="B35" s="44" t="str">
        <f t="shared" si="0"/>
        <v>20032</v>
      </c>
      <c r="C35" s="45" t="str">
        <f t="shared" si="1"/>
        <v>Monday</v>
      </c>
      <c r="D35" s="44" t="str">
        <f t="shared" si="2"/>
        <v>0</v>
      </c>
      <c r="E35" s="44" t="str">
        <f t="shared" si="3"/>
        <v>Sunday</v>
      </c>
      <c r="F35" s="46" t="str">
        <f t="shared" si="4"/>
        <v>24</v>
      </c>
    </row>
    <row r="36" spans="1:6">
      <c r="A36" s="7" t="s">
        <v>137</v>
      </c>
      <c r="B36" s="44" t="str">
        <f t="shared" si="0"/>
        <v>20034</v>
      </c>
      <c r="C36" s="45" t="str">
        <f t="shared" si="1"/>
        <v>Monday</v>
      </c>
      <c r="D36" s="44" t="str">
        <f t="shared" si="2"/>
        <v>0</v>
      </c>
      <c r="E36" s="44" t="str">
        <f t="shared" si="3"/>
        <v>Sunday</v>
      </c>
      <c r="F36" s="46" t="str">
        <f t="shared" si="4"/>
        <v>24</v>
      </c>
    </row>
    <row r="37" spans="1:6">
      <c r="A37" s="7" t="s">
        <v>138</v>
      </c>
      <c r="B37" s="44" t="str">
        <f t="shared" si="0"/>
        <v>20036</v>
      </c>
      <c r="C37" s="45" t="str">
        <f t="shared" si="1"/>
        <v>Monday</v>
      </c>
      <c r="D37" s="44" t="str">
        <f t="shared" si="2"/>
        <v>0</v>
      </c>
      <c r="E37" s="44" t="str">
        <f t="shared" si="3"/>
        <v>Sunday</v>
      </c>
      <c r="F37" s="46" t="str">
        <f t="shared" si="4"/>
        <v>24</v>
      </c>
    </row>
    <row r="38" spans="1:6">
      <c r="A38" s="7" t="s">
        <v>139</v>
      </c>
      <c r="B38" s="44" t="str">
        <f t="shared" si="0"/>
        <v>20038</v>
      </c>
      <c r="C38" s="45" t="str">
        <f t="shared" si="1"/>
        <v>Monday</v>
      </c>
      <c r="D38" s="44" t="str">
        <f t="shared" si="2"/>
        <v>0</v>
      </c>
      <c r="E38" s="44" t="str">
        <f t="shared" si="3"/>
        <v>Sunday</v>
      </c>
      <c r="F38" s="46" t="str">
        <f t="shared" si="4"/>
        <v>24</v>
      </c>
    </row>
    <row r="39" spans="1:6">
      <c r="A39" s="7" t="s">
        <v>140</v>
      </c>
      <c r="B39" s="44" t="str">
        <f t="shared" si="0"/>
        <v>20040</v>
      </c>
      <c r="C39" s="45" t="str">
        <f t="shared" si="1"/>
        <v>Monday</v>
      </c>
      <c r="D39" s="44" t="str">
        <f t="shared" si="2"/>
        <v>0</v>
      </c>
      <c r="E39" s="44" t="str">
        <f t="shared" si="3"/>
        <v>Sunday</v>
      </c>
      <c r="F39" s="46" t="str">
        <f t="shared" si="4"/>
        <v>24</v>
      </c>
    </row>
    <row r="40" spans="1:6">
      <c r="A40" s="7" t="s">
        <v>141</v>
      </c>
      <c r="B40" s="44" t="str">
        <f t="shared" si="0"/>
        <v>20042</v>
      </c>
      <c r="C40" s="45" t="str">
        <f t="shared" si="1"/>
        <v>Monday</v>
      </c>
      <c r="D40" s="44" t="str">
        <f t="shared" si="2"/>
        <v>0</v>
      </c>
      <c r="E40" s="44" t="str">
        <f t="shared" si="3"/>
        <v>Sunday</v>
      </c>
      <c r="F40" s="46" t="str">
        <f t="shared" si="4"/>
        <v>24</v>
      </c>
    </row>
    <row r="41" spans="1:6">
      <c r="A41" s="7" t="s">
        <v>142</v>
      </c>
      <c r="B41" s="44" t="str">
        <f t="shared" si="0"/>
        <v>20044</v>
      </c>
      <c r="C41" s="45" t="str">
        <f t="shared" si="1"/>
        <v>Monday</v>
      </c>
      <c r="D41" s="44" t="str">
        <f t="shared" si="2"/>
        <v>0</v>
      </c>
      <c r="E41" s="44" t="str">
        <f t="shared" si="3"/>
        <v>Sunday</v>
      </c>
      <c r="F41" s="46" t="str">
        <f t="shared" si="4"/>
        <v>24</v>
      </c>
    </row>
    <row r="42" spans="1:6">
      <c r="A42" s="7" t="s">
        <v>143</v>
      </c>
      <c r="B42" s="44" t="str">
        <f t="shared" si="0"/>
        <v>20046</v>
      </c>
      <c r="C42" s="45" t="str">
        <f t="shared" si="1"/>
        <v>Monday</v>
      </c>
      <c r="D42" s="44" t="str">
        <f t="shared" si="2"/>
        <v>0</v>
      </c>
      <c r="E42" s="44" t="str">
        <f t="shared" si="3"/>
        <v>Sunday</v>
      </c>
      <c r="F42" s="46" t="str">
        <f t="shared" si="4"/>
        <v>24</v>
      </c>
    </row>
    <row r="43" spans="1:6">
      <c r="A43" s="7" t="s">
        <v>144</v>
      </c>
      <c r="B43" s="44" t="str">
        <f t="shared" si="0"/>
        <v>20048</v>
      </c>
      <c r="C43" s="45" t="str">
        <f t="shared" si="1"/>
        <v>Monday</v>
      </c>
      <c r="D43" s="44" t="str">
        <f t="shared" si="2"/>
        <v>0</v>
      </c>
      <c r="E43" s="44" t="str">
        <f t="shared" si="3"/>
        <v>Sunday</v>
      </c>
      <c r="F43" s="46" t="str">
        <f t="shared" si="4"/>
        <v>24</v>
      </c>
    </row>
    <row r="44" spans="1:6">
      <c r="A44" s="7" t="s">
        <v>145</v>
      </c>
      <c r="B44" s="44" t="str">
        <f t="shared" si="0"/>
        <v>20050</v>
      </c>
      <c r="C44" s="45" t="str">
        <f t="shared" si="1"/>
        <v>Monday</v>
      </c>
      <c r="D44" s="44" t="str">
        <f t="shared" si="2"/>
        <v>0</v>
      </c>
      <c r="E44" s="44" t="str">
        <f t="shared" si="3"/>
        <v>Sunday</v>
      </c>
      <c r="F44" s="46" t="str">
        <f t="shared" si="4"/>
        <v>24</v>
      </c>
    </row>
    <row r="45" spans="1:6">
      <c r="A45" s="7" t="s">
        <v>146</v>
      </c>
      <c r="B45" s="44" t="str">
        <f t="shared" si="0"/>
        <v>20052</v>
      </c>
      <c r="C45" s="45" t="str">
        <f t="shared" si="1"/>
        <v>Monday</v>
      </c>
      <c r="D45" s="44" t="str">
        <f t="shared" si="2"/>
        <v>0</v>
      </c>
      <c r="E45" s="44" t="str">
        <f t="shared" si="3"/>
        <v>Sunday</v>
      </c>
      <c r="F45" s="46" t="str">
        <f t="shared" si="4"/>
        <v>24</v>
      </c>
    </row>
    <row r="46" spans="1:6">
      <c r="A46" s="7" t="s">
        <v>147</v>
      </c>
      <c r="B46" s="44" t="str">
        <f t="shared" si="0"/>
        <v>20054</v>
      </c>
      <c r="C46" s="45" t="str">
        <f t="shared" si="1"/>
        <v>Monday</v>
      </c>
      <c r="D46" s="44" t="str">
        <f t="shared" si="2"/>
        <v>0</v>
      </c>
      <c r="E46" s="44" t="str">
        <f t="shared" si="3"/>
        <v>Sunday</v>
      </c>
      <c r="F46" s="46" t="str">
        <f t="shared" si="4"/>
        <v>24</v>
      </c>
    </row>
    <row r="47" spans="1:6">
      <c r="A47" s="7" t="s">
        <v>148</v>
      </c>
      <c r="B47" s="44" t="str">
        <f t="shared" si="0"/>
        <v>20058</v>
      </c>
      <c r="C47" s="45" t="str">
        <f t="shared" si="1"/>
        <v>Monday</v>
      </c>
      <c r="D47" s="44" t="str">
        <f t="shared" si="2"/>
        <v>0</v>
      </c>
      <c r="E47" s="44" t="str">
        <f t="shared" si="3"/>
        <v>Sunday</v>
      </c>
      <c r="F47" s="46" t="str">
        <f t="shared" si="4"/>
        <v>24</v>
      </c>
    </row>
    <row r="48" spans="1:6">
      <c r="A48" s="7" t="s">
        <v>149</v>
      </c>
      <c r="B48" s="44" t="str">
        <f t="shared" si="0"/>
        <v>20060</v>
      </c>
      <c r="C48" s="45" t="str">
        <f t="shared" si="1"/>
        <v>Monday</v>
      </c>
      <c r="D48" s="44" t="str">
        <f t="shared" si="2"/>
        <v>0</v>
      </c>
      <c r="E48" s="44" t="str">
        <f t="shared" si="3"/>
        <v>Sunday</v>
      </c>
      <c r="F48" s="46" t="str">
        <f t="shared" si="4"/>
        <v>24</v>
      </c>
    </row>
    <row r="49" spans="1:6">
      <c r="A49" s="7" t="s">
        <v>111</v>
      </c>
      <c r="B49" s="44" t="str">
        <f t="shared" si="0"/>
        <v>21000</v>
      </c>
      <c r="C49" s="45" t="str">
        <f t="shared" si="1"/>
        <v>Monday</v>
      </c>
      <c r="D49" s="44" t="str">
        <f t="shared" si="2"/>
        <v>0</v>
      </c>
      <c r="E49" s="44" t="str">
        <f t="shared" si="3"/>
        <v>Sunday</v>
      </c>
      <c r="F49" s="46" t="str">
        <f t="shared" si="4"/>
        <v>24</v>
      </c>
    </row>
    <row r="50" spans="1:6">
      <c r="A50" s="7" t="s">
        <v>112</v>
      </c>
      <c r="B50" s="44" t="str">
        <f t="shared" si="0"/>
        <v>21002</v>
      </c>
      <c r="C50" s="45" t="str">
        <f t="shared" si="1"/>
        <v>Monday</v>
      </c>
      <c r="D50" s="44" t="str">
        <f t="shared" si="2"/>
        <v>0</v>
      </c>
      <c r="E50" s="44" t="str">
        <f t="shared" si="3"/>
        <v>Sunday</v>
      </c>
      <c r="F50" s="46" t="str">
        <f t="shared" si="4"/>
        <v>24</v>
      </c>
    </row>
    <row r="51" spans="1:6">
      <c r="A51" s="7" t="s">
        <v>113</v>
      </c>
      <c r="B51" s="44" t="str">
        <f t="shared" si="0"/>
        <v>21004</v>
      </c>
      <c r="C51" s="45" t="str">
        <f t="shared" si="1"/>
        <v>Monday</v>
      </c>
      <c r="D51" s="44" t="str">
        <f t="shared" si="2"/>
        <v>0</v>
      </c>
      <c r="E51" s="44" t="str">
        <f t="shared" si="3"/>
        <v>Sunday</v>
      </c>
      <c r="F51" s="46" t="str">
        <f t="shared" si="4"/>
        <v>24</v>
      </c>
    </row>
    <row r="52" spans="1:6">
      <c r="A52" s="7" t="s">
        <v>114</v>
      </c>
      <c r="B52" s="44" t="str">
        <f t="shared" si="0"/>
        <v>21006</v>
      </c>
      <c r="C52" s="45" t="str">
        <f t="shared" si="1"/>
        <v>Monday</v>
      </c>
      <c r="D52" s="44" t="str">
        <f t="shared" si="2"/>
        <v>0</v>
      </c>
      <c r="E52" s="44" t="str">
        <f t="shared" si="3"/>
        <v>Sunday</v>
      </c>
      <c r="F52" s="46" t="str">
        <f t="shared" si="4"/>
        <v>24</v>
      </c>
    </row>
    <row r="53" spans="1:6">
      <c r="A53" s="7" t="s">
        <v>115</v>
      </c>
      <c r="B53" s="44" t="str">
        <f t="shared" si="0"/>
        <v>21008</v>
      </c>
      <c r="C53" s="45" t="str">
        <f t="shared" si="1"/>
        <v>Monday</v>
      </c>
      <c r="D53" s="44" t="str">
        <f t="shared" si="2"/>
        <v>0</v>
      </c>
      <c r="E53" s="44" t="str">
        <f t="shared" si="3"/>
        <v>Sunday</v>
      </c>
      <c r="F53" s="46" t="str">
        <f t="shared" si="4"/>
        <v>24</v>
      </c>
    </row>
    <row r="54" spans="1:6">
      <c r="A54" s="7" t="s">
        <v>116</v>
      </c>
      <c r="B54" s="44" t="str">
        <f t="shared" si="0"/>
        <v>21010</v>
      </c>
      <c r="C54" s="45" t="str">
        <f t="shared" si="1"/>
        <v>Monday</v>
      </c>
      <c r="D54" s="44" t="str">
        <f t="shared" si="2"/>
        <v>0</v>
      </c>
      <c r="E54" s="44" t="str">
        <f t="shared" si="3"/>
        <v>Sunday</v>
      </c>
      <c r="F54" s="46" t="str">
        <f t="shared" si="4"/>
        <v>24</v>
      </c>
    </row>
    <row r="55" spans="1:6">
      <c r="A55" s="7" t="s">
        <v>117</v>
      </c>
      <c r="B55" s="44" t="str">
        <f t="shared" si="0"/>
        <v>21012</v>
      </c>
      <c r="C55" s="45" t="str">
        <f t="shared" si="1"/>
        <v>Monday</v>
      </c>
      <c r="D55" s="44" t="str">
        <f t="shared" si="2"/>
        <v>0</v>
      </c>
      <c r="E55" s="44" t="str">
        <f t="shared" si="3"/>
        <v>Sunday</v>
      </c>
      <c r="F55" s="46" t="str">
        <f t="shared" si="4"/>
        <v>24</v>
      </c>
    </row>
    <row r="56" spans="1:6">
      <c r="A56" s="7" t="s">
        <v>118</v>
      </c>
      <c r="B56" s="44" t="str">
        <f t="shared" si="0"/>
        <v>21014</v>
      </c>
      <c r="C56" s="45" t="str">
        <f t="shared" si="1"/>
        <v>Monday</v>
      </c>
      <c r="D56" s="44" t="str">
        <f t="shared" si="2"/>
        <v>0</v>
      </c>
      <c r="E56" s="44" t="str">
        <f t="shared" si="3"/>
        <v>Sunday</v>
      </c>
      <c r="F56" s="46" t="str">
        <f t="shared" si="4"/>
        <v>24</v>
      </c>
    </row>
    <row r="57" spans="1:6">
      <c r="A57" s="9" t="s">
        <v>119</v>
      </c>
      <c r="B57" s="47" t="str">
        <f t="shared" si="0"/>
        <v>21016</v>
      </c>
      <c r="C57" s="10" t="str">
        <f t="shared" si="1"/>
        <v>Monday</v>
      </c>
      <c r="D57" s="47" t="str">
        <f t="shared" si="2"/>
        <v>0</v>
      </c>
      <c r="E57" s="47" t="str">
        <f t="shared" si="3"/>
        <v>Sunday</v>
      </c>
      <c r="F57" s="48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B7" sqref="B7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>
      <c r="A1" s="40" t="s">
        <v>85</v>
      </c>
      <c r="B1" s="39" t="s">
        <v>166</v>
      </c>
    </row>
    <row r="2" spans="1:4" ht="18">
      <c r="B2" s="38" t="s">
        <v>165</v>
      </c>
    </row>
    <row r="5" spans="1:4" ht="14.4">
      <c r="B5" s="1" t="s">
        <v>150</v>
      </c>
    </row>
    <row r="6" spans="1:4" ht="14.4">
      <c r="A6" s="3" t="s">
        <v>53</v>
      </c>
      <c r="B6" s="60" t="s">
        <v>187</v>
      </c>
    </row>
    <row r="7" spans="1:4" ht="14.4">
      <c r="A7" s="3" t="s">
        <v>152</v>
      </c>
      <c r="B7" s="60" t="s">
        <v>188</v>
      </c>
    </row>
    <row r="10" spans="1:4" ht="23.4">
      <c r="A10" s="17" t="s">
        <v>161</v>
      </c>
    </row>
    <row r="11" spans="1:4" ht="14.4">
      <c r="A11" s="31" t="s">
        <v>86</v>
      </c>
      <c r="B11" s="16" t="s">
        <v>87</v>
      </c>
      <c r="C11" s="16" t="s">
        <v>88</v>
      </c>
      <c r="D11" s="24" t="s">
        <v>186</v>
      </c>
    </row>
    <row r="12" spans="1:4" ht="14.4">
      <c r="A12" s="31">
        <v>44927</v>
      </c>
      <c r="B12" s="16" t="s">
        <v>59</v>
      </c>
      <c r="C12" s="16">
        <v>200</v>
      </c>
      <c r="D12" s="61">
        <f>IFERROR(C12,"20")</f>
        <v>200</v>
      </c>
    </row>
    <row r="13" spans="1:4" ht="14.4">
      <c r="A13" s="31">
        <v>44928</v>
      </c>
      <c r="B13" s="16" t="s">
        <v>60</v>
      </c>
      <c r="C13" s="16" t="e">
        <v>#N/A</v>
      </c>
      <c r="D13" s="61" t="str">
        <f t="shared" ref="D13:D21" si="0">IFERROR(C13,"20")</f>
        <v>20</v>
      </c>
    </row>
    <row r="14" spans="1:4" ht="14.4">
      <c r="A14" s="31">
        <v>44929</v>
      </c>
      <c r="B14" s="16" t="s">
        <v>61</v>
      </c>
      <c r="C14" s="16">
        <v>50</v>
      </c>
      <c r="D14" s="61">
        <f t="shared" si="0"/>
        <v>50</v>
      </c>
    </row>
    <row r="15" spans="1:4" ht="14.4">
      <c r="A15" s="31">
        <v>44930</v>
      </c>
      <c r="B15" s="16" t="s">
        <v>62</v>
      </c>
      <c r="C15" s="16" t="e">
        <v>#N/A</v>
      </c>
      <c r="D15" s="61" t="str">
        <f t="shared" si="0"/>
        <v>20</v>
      </c>
    </row>
    <row r="16" spans="1:4" ht="14.4">
      <c r="A16" s="31">
        <v>44931</v>
      </c>
      <c r="B16" s="16" t="s">
        <v>63</v>
      </c>
      <c r="C16" s="16">
        <v>10</v>
      </c>
      <c r="D16" s="61">
        <f t="shared" si="0"/>
        <v>10</v>
      </c>
    </row>
    <row r="17" spans="1:4" ht="14.4">
      <c r="A17" s="31">
        <v>44932</v>
      </c>
      <c r="B17" s="16" t="s">
        <v>153</v>
      </c>
      <c r="C17" s="16">
        <v>150</v>
      </c>
      <c r="D17" s="61">
        <f t="shared" si="0"/>
        <v>150</v>
      </c>
    </row>
    <row r="18" spans="1:4" ht="14.4">
      <c r="A18" s="31">
        <v>44933</v>
      </c>
      <c r="B18" s="16" t="s">
        <v>154</v>
      </c>
      <c r="C18" s="16">
        <v>80</v>
      </c>
      <c r="D18" s="61">
        <f t="shared" si="0"/>
        <v>80</v>
      </c>
    </row>
    <row r="19" spans="1:4" ht="14.4">
      <c r="A19" s="31">
        <v>44934</v>
      </c>
      <c r="B19" s="16" t="s">
        <v>155</v>
      </c>
      <c r="C19" s="16" t="e">
        <v>#N/A</v>
      </c>
      <c r="D19" s="61" t="str">
        <f t="shared" si="0"/>
        <v>20</v>
      </c>
    </row>
    <row r="20" spans="1:4" ht="14.4">
      <c r="A20" s="31">
        <v>44935</v>
      </c>
      <c r="B20" s="16" t="s">
        <v>156</v>
      </c>
      <c r="C20" s="16">
        <v>30</v>
      </c>
      <c r="D20" s="61">
        <f t="shared" si="0"/>
        <v>30</v>
      </c>
    </row>
    <row r="21" spans="1:4" ht="14.4">
      <c r="A21" s="31">
        <v>44936</v>
      </c>
      <c r="B21" s="16" t="s">
        <v>157</v>
      </c>
      <c r="C21" s="16" t="e">
        <v>#N/A</v>
      </c>
      <c r="D21" s="61" t="str">
        <f t="shared" si="0"/>
        <v>20</v>
      </c>
    </row>
    <row r="22" spans="1:4" ht="14.4">
      <c r="A22" s="24"/>
      <c r="B22" s="18" t="s">
        <v>158</v>
      </c>
      <c r="C22" s="25"/>
      <c r="D22" s="25">
        <f>SUM(D12:D21)</f>
        <v>520</v>
      </c>
    </row>
  </sheetData>
  <conditionalFormatting sqref="C12:C21">
    <cfRule type="containsText" dxfId="1" priority="1" operator="containsText" text="#N/A">
      <formula>NOT(ISERROR(SEARCH("#N/A",C12)))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B5" sqref="B5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0" t="s">
        <v>98</v>
      </c>
      <c r="B1" s="39" t="s">
        <v>174</v>
      </c>
    </row>
    <row r="2" spans="1:14" ht="14.4">
      <c r="B2" s="1" t="s">
        <v>150</v>
      </c>
    </row>
    <row r="4" spans="1:14" ht="18">
      <c r="A4" s="41" t="s">
        <v>53</v>
      </c>
      <c r="B4" s="1" t="s">
        <v>189</v>
      </c>
    </row>
    <row r="5" spans="1:14" ht="18">
      <c r="A5" s="41" t="s">
        <v>152</v>
      </c>
      <c r="B5" s="1" t="s">
        <v>190</v>
      </c>
    </row>
    <row r="6" spans="1:14" ht="14.4">
      <c r="A6" s="3"/>
      <c r="B6" s="1"/>
    </row>
    <row r="8" spans="1:14" ht="23.4">
      <c r="A8" s="17" t="s">
        <v>161</v>
      </c>
      <c r="M8" s="17" t="s">
        <v>162</v>
      </c>
    </row>
    <row r="9" spans="1:14" ht="14.4">
      <c r="A9" s="50" t="s">
        <v>177</v>
      </c>
      <c r="B9" s="51" t="s">
        <v>89</v>
      </c>
      <c r="C9" s="51" t="s">
        <v>90</v>
      </c>
      <c r="D9" s="51" t="s">
        <v>91</v>
      </c>
      <c r="E9" s="51" t="s">
        <v>92</v>
      </c>
      <c r="F9" s="51" t="s">
        <v>93</v>
      </c>
      <c r="G9" s="51" t="s">
        <v>94</v>
      </c>
      <c r="H9" s="51" t="s">
        <v>95</v>
      </c>
      <c r="I9" s="51" t="s">
        <v>96</v>
      </c>
      <c r="J9" s="52" t="s">
        <v>97</v>
      </c>
      <c r="M9" s="56" t="s">
        <v>43</v>
      </c>
      <c r="N9" s="57" t="s">
        <v>99</v>
      </c>
    </row>
    <row r="10" spans="1:14" ht="14.4">
      <c r="A10" s="49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36">
        <v>525</v>
      </c>
      <c r="M10" s="8">
        <v>10100</v>
      </c>
      <c r="N10" s="7" t="s">
        <v>89</v>
      </c>
    </row>
    <row r="11" spans="1:14" ht="14.4">
      <c r="A11" s="49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36">
        <v>430</v>
      </c>
      <c r="M11" s="8">
        <v>10102</v>
      </c>
      <c r="N11" s="7" t="s">
        <v>90</v>
      </c>
    </row>
    <row r="12" spans="1:14" ht="14.4">
      <c r="A12" s="49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36">
        <v>400</v>
      </c>
      <c r="M12" s="8">
        <v>10104</v>
      </c>
      <c r="N12" s="7" t="s">
        <v>91</v>
      </c>
    </row>
    <row r="13" spans="1:14" ht="14.4">
      <c r="A13" s="49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36">
        <v>340</v>
      </c>
      <c r="M13" s="8">
        <v>10106</v>
      </c>
      <c r="N13" s="7" t="s">
        <v>92</v>
      </c>
    </row>
    <row r="14" spans="1:14" ht="14.4">
      <c r="A14" s="49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36">
        <v>270</v>
      </c>
      <c r="M14" s="8">
        <v>10108</v>
      </c>
      <c r="N14" s="7" t="s">
        <v>93</v>
      </c>
    </row>
    <row r="15" spans="1:14" ht="14.4">
      <c r="A15" s="49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36">
        <v>220</v>
      </c>
      <c r="M15" s="8">
        <v>10110</v>
      </c>
      <c r="N15" s="7" t="s">
        <v>94</v>
      </c>
    </row>
    <row r="16" spans="1:14" ht="14.4">
      <c r="A16" s="49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36">
        <v>105</v>
      </c>
      <c r="M16" s="8">
        <v>10112</v>
      </c>
      <c r="N16" s="7" t="s">
        <v>95</v>
      </c>
    </row>
    <row r="17" spans="1:14" ht="14.4">
      <c r="A17" s="49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36">
        <v>40</v>
      </c>
      <c r="M17" s="8">
        <v>10114</v>
      </c>
      <c r="N17" s="7" t="s">
        <v>96</v>
      </c>
    </row>
    <row r="18" spans="1:14" ht="14.4">
      <c r="A18" s="53" t="s">
        <v>97</v>
      </c>
      <c r="B18" s="54">
        <v>525</v>
      </c>
      <c r="C18" s="54">
        <v>430</v>
      </c>
      <c r="D18" s="54">
        <v>400</v>
      </c>
      <c r="E18" s="54">
        <v>340</v>
      </c>
      <c r="F18" s="54">
        <v>270</v>
      </c>
      <c r="G18" s="54">
        <v>220</v>
      </c>
      <c r="H18" s="54">
        <v>105</v>
      </c>
      <c r="I18" s="54">
        <v>40</v>
      </c>
      <c r="J18" s="55">
        <v>-1</v>
      </c>
      <c r="M18" s="8">
        <v>10116</v>
      </c>
      <c r="N18" s="7" t="s">
        <v>97</v>
      </c>
    </row>
    <row r="21" spans="1:14" ht="23.4">
      <c r="A21" s="17" t="s">
        <v>167</v>
      </c>
      <c r="D21" s="43"/>
    </row>
    <row r="22" spans="1:14" ht="14.4">
      <c r="A22" s="10" t="s">
        <v>100</v>
      </c>
      <c r="B22" s="13" t="s">
        <v>101</v>
      </c>
      <c r="C22" s="10" t="s">
        <v>102</v>
      </c>
    </row>
    <row r="23" spans="1:14" ht="14.4">
      <c r="A23" s="45">
        <v>10100</v>
      </c>
      <c r="B23" s="12">
        <v>10102</v>
      </c>
      <c r="C23" s="2" t="str">
        <f t="shared" ref="C23:C35" si="0">VLOOKUP(A23,$M$10:$N$18,2,0)</f>
        <v>A</v>
      </c>
    </row>
    <row r="24" spans="1:14" ht="14.4">
      <c r="A24" s="45">
        <v>10100</v>
      </c>
      <c r="B24" s="12">
        <v>10104</v>
      </c>
      <c r="C24" s="58" t="str">
        <f t="shared" si="0"/>
        <v>A</v>
      </c>
    </row>
    <row r="25" spans="1:14" ht="14.4">
      <c r="A25" s="45">
        <v>10108</v>
      </c>
      <c r="B25" s="12">
        <v>10102</v>
      </c>
      <c r="C25" s="58" t="str">
        <f t="shared" si="0"/>
        <v>E</v>
      </c>
    </row>
    <row r="26" spans="1:14" ht="14.4">
      <c r="A26" s="45">
        <v>10100</v>
      </c>
      <c r="B26" s="12">
        <v>10106</v>
      </c>
      <c r="C26" s="58" t="str">
        <f t="shared" si="0"/>
        <v>A</v>
      </c>
    </row>
    <row r="27" spans="1:14" ht="14.4">
      <c r="A27" s="45">
        <v>10108</v>
      </c>
      <c r="B27" s="12">
        <v>10110</v>
      </c>
      <c r="C27" s="58" t="str">
        <f t="shared" si="0"/>
        <v>E</v>
      </c>
    </row>
    <row r="28" spans="1:14" ht="14.4">
      <c r="A28" s="45">
        <v>10102</v>
      </c>
      <c r="B28" s="12">
        <v>10104</v>
      </c>
      <c r="C28" s="58" t="str">
        <f t="shared" si="0"/>
        <v>B</v>
      </c>
    </row>
    <row r="29" spans="1:14" ht="14.4">
      <c r="A29" s="45">
        <v>10106</v>
      </c>
      <c r="B29" s="12">
        <v>10108</v>
      </c>
      <c r="C29" s="58" t="str">
        <f t="shared" si="0"/>
        <v>D</v>
      </c>
    </row>
    <row r="30" spans="1:14" ht="14.4">
      <c r="A30" s="45">
        <v>10102</v>
      </c>
      <c r="B30" s="12">
        <v>10106</v>
      </c>
      <c r="C30" s="58" t="str">
        <f t="shared" si="0"/>
        <v>B</v>
      </c>
    </row>
    <row r="31" spans="1:14" ht="14.4">
      <c r="A31" s="45">
        <v>10110</v>
      </c>
      <c r="B31" s="12">
        <v>10114</v>
      </c>
      <c r="C31" s="58" t="str">
        <f t="shared" si="0"/>
        <v>F</v>
      </c>
    </row>
    <row r="32" spans="1:14" ht="14.4">
      <c r="A32" s="45">
        <v>10104</v>
      </c>
      <c r="B32" s="12">
        <v>10106</v>
      </c>
      <c r="C32" s="58" t="str">
        <f t="shared" si="0"/>
        <v>C</v>
      </c>
    </row>
    <row r="33" spans="1:3" ht="14.4">
      <c r="A33" s="45">
        <v>10110</v>
      </c>
      <c r="B33" s="12">
        <v>10112</v>
      </c>
      <c r="C33" s="58" t="str">
        <f t="shared" si="0"/>
        <v>F</v>
      </c>
    </row>
    <row r="34" spans="1:3" ht="14.4">
      <c r="A34" s="45">
        <v>10100</v>
      </c>
      <c r="B34" s="12">
        <v>10114</v>
      </c>
      <c r="C34" s="58" t="str">
        <f t="shared" si="0"/>
        <v>A</v>
      </c>
    </row>
    <row r="35" spans="1:3" ht="14.4">
      <c r="A35" s="45">
        <v>10112</v>
      </c>
      <c r="B35" s="12">
        <v>10116</v>
      </c>
      <c r="C35" s="58" t="str">
        <f t="shared" si="0"/>
        <v>G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Anuj Singh</cp:lastModifiedBy>
  <dcterms:created xsi:type="dcterms:W3CDTF">2015-02-10T17:33:11Z</dcterms:created>
  <dcterms:modified xsi:type="dcterms:W3CDTF">2024-10-23T09:23:22Z</dcterms:modified>
</cp:coreProperties>
</file>